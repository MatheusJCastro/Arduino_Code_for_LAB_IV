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Simple Data" sheetId="1" state="visible" r:id="rId3"/>
    <sheet name="Further sheet" sheetId="2" state="visible" r:id="rId4"/>
    <sheet name="PLXDAQ_new_Settings" sheetId="3" state="hidden" r:id="rId5"/>
  </sheets>
  <definedNames>
    <definedName function="false" hidden="false" localSheetId="0" name="_xlnm._FilterDatabase" vbProcedure="false">'Simple Data'!$A$1:$H$3455</definedName>
    <definedName function="true" hidden="false" name="ThisWorkbook.openUI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<sst xmlns="http://schemas.openxmlformats.org/spreadsheetml/2006/main" count="23" uniqueCount="23">
  <si>
    <t xml:space="preserve">Angle (graus)</t>
  </si>
  <si>
    <t xml:space="preserve">Voltage (V)</t>
  </si>
  <si>
    <t xml:space="preserve">I0</t>
  </si>
  <si>
    <t xml:space="preserve">fase</t>
  </si>
  <si>
    <t xml:space="preserve">fase rad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</si>
  <si>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</si>
  <si>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</si>
  <si>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</si>
  <si>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</si>
  <si>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</si>
  <si>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</si>
  <si>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</si>
  <si>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</si>
  <si>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Simple Data</t>
  </si>
  <si>
    <t xml:space="preserve">Log Incoming to DDW:</t>
  </si>
  <si>
    <t xml:space="preserve">Log Outgoing to DDW:</t>
  </si>
  <si>
    <t xml:space="preserve">Log System to DDW:</t>
  </si>
  <si>
    <t xml:space="preserve">Add Timestamp to DDW:</t>
  </si>
  <si>
    <t xml:space="preserve">Custom Form Width:</t>
  </si>
  <si>
    <t xml:space="preserve">#EXPERT-CONFIG# Serial Device Read buffer:</t>
  </si>
  <si>
    <t xml:space="preserve">#EXPERT-CONFIG# Serial Device Write buffer:</t>
  </si>
  <si>
    <t xml:space="preserve">#EXPERT-CONFIG# Excel Read buffer size:</t>
  </si>
  <si>
    <t xml:space="preserve">#EXPERT-CONFIG# Excel interim buffer size: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</si>
</sst>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.000000"/>
    <numFmt numFmtId="167" formatCode="0.00"/>
    <numFmt numFmtId="168" formatCode="0.00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8"/>
      <color rgb="FFFF0000"/>
      <name val="Calibri"/>
      <family val="2"/>
    </font>
    <font>
      <sz val="10"/>
      <color rgb="FF000000"/>
      <name val="Calibri"/>
      <family val="2"/>
    </font>
    <font>
      <b val="true"/>
      <sz val="16"/>
      <color rgb="FF7030A0"/>
      <name val="Calibri"/>
      <family val="2"/>
    </font>
    <font>
      <b val="true"/>
      <sz val="10"/>
      <color rgb="FF7030A0"/>
      <name val="Calibri"/>
      <family val="2"/>
    </font>
    <font>
      <sz val="10"/>
      <color rgb="FF000000"/>
      <name val="Arial"/>
      <family val="0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Standard 2" xfId="20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ff0000"/>
                </a:solidFill>
                <a:latin typeface="Calibri"/>
              </a:defRPr>
            </a:pPr>
            <a:r>
              <a:rPr b="1" sz="1800" spc="-1" strike="noStrike">
                <a:solidFill>
                  <a:srgbClr val="ff0000"/>
                </a:solidFill>
                <a:latin typeface="Calibri"/>
              </a:rPr>
              <a:t> ANALISADOR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99ccff"/>
            </a:solidFill>
            <a:ln w="28440">
              <a:noFill/>
            </a:ln>
          </c:spPr>
          <c:marker>
            <c:symbol val="square"/>
            <c:size val="5"/>
            <c:spPr>
              <a:solidFill>
                <a:srgbClr val="99ccff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'Simple Data'!$A$2:$A$100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'Simple Data'!$B$2:$B$100</c:f>
              <c:numCache>
                <c:formatCode>General</c:formatCode>
                <c:ptCount val="99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</c:numCache>
            </c:numRef>
          </c:yVal>
          <c:smooth val="0"/>
        </c:ser>
        <c:axId val="74296068"/>
        <c:axId val="31206782"/>
      </c:scatterChart>
      <c:valAx>
        <c:axId val="74296068"/>
        <c:scaling>
          <c:orientation val="minMax"/>
          <c:max val="200"/>
          <c:min val="0"/>
        </c:scaling>
        <c:delete val="0"/>
        <c:axPos val="b"/>
        <c:title>
          <c:tx>
            <c:rich>
              <a:bodyPr rot="0"/>
              <a:lstStyle/>
              <a:p>
                <a:pPr>
                  <a:defRPr b="1" sz="1600" spc="-1" strike="noStrike">
                    <a:solidFill>
                      <a:srgbClr val="7030a0"/>
                    </a:solidFill>
                    <a:latin typeface="Calibri"/>
                  </a:defRPr>
                </a:pPr>
                <a:r>
                  <a:rPr b="1" sz="1600" spc="-1" strike="noStrike">
                    <a:solidFill>
                      <a:srgbClr val="7030a0"/>
                    </a:solidFill>
                    <a:latin typeface="Calibri"/>
                  </a:rPr>
                  <a:t>Ângulo (graus)</a:t>
                </a:r>
              </a:p>
            </c:rich>
          </c:tx>
          <c:layout>
            <c:manualLayout>
              <c:xMode val="edge"/>
              <c:yMode val="edge"/>
              <c:x val="0.379158819836786"/>
              <c:y val="0.902001026167265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1206782"/>
        <c:crosses val="autoZero"/>
        <c:crossBetween val="midCat"/>
        <c:majorUnit val="20"/>
      </c:valAx>
      <c:valAx>
        <c:axId val="31206782"/>
        <c:scaling>
          <c:orientation val="minMax"/>
          <c:max val="5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sz="1600" spc="-1" strike="noStrike">
                    <a:solidFill>
                      <a:srgbClr val="7030a0"/>
                    </a:solidFill>
                    <a:latin typeface="Calibri"/>
                  </a:defRPr>
                </a:pPr>
                <a:r>
                  <a:rPr b="1" sz="1600" spc="-1" strike="noStrike">
                    <a:solidFill>
                      <a:srgbClr val="7030a0"/>
                    </a:solidFill>
                    <a:latin typeface="Calibri"/>
                  </a:rPr>
                  <a:t>Tensão sensor (V)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4296068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spPr>
            <a:solidFill>
              <a:srgbClr val="99ccff"/>
            </a:solidFill>
            <a:ln w="28440">
              <a:noFill/>
            </a:ln>
          </c:spPr>
          <c:marker>
            <c:symbol val="square"/>
            <c:size val="5"/>
            <c:spPr>
              <a:solidFill>
                <a:srgbClr val="99ccff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'Further sheet'!$D$4:$D$41</c:f>
              <c:numCache>
                <c:formatCode>General</c:formatCode>
                <c:ptCount val="38"/>
                <c:pt idx="0">
                  <c:v>0</c:v>
                </c:pt>
                <c:pt idx="1">
                  <c:v>4.92</c:v>
                </c:pt>
                <c:pt idx="2">
                  <c:v>9.84</c:v>
                </c:pt>
                <c:pt idx="3">
                  <c:v>14.77</c:v>
                </c:pt>
                <c:pt idx="4">
                  <c:v>19.69</c:v>
                </c:pt>
                <c:pt idx="5">
                  <c:v>24.61</c:v>
                </c:pt>
                <c:pt idx="6">
                  <c:v>29.53</c:v>
                </c:pt>
                <c:pt idx="7">
                  <c:v>34.45</c:v>
                </c:pt>
                <c:pt idx="8">
                  <c:v>39.38</c:v>
                </c:pt>
                <c:pt idx="9">
                  <c:v>44.3</c:v>
                </c:pt>
                <c:pt idx="10">
                  <c:v>49.22</c:v>
                </c:pt>
                <c:pt idx="11">
                  <c:v>54.14</c:v>
                </c:pt>
                <c:pt idx="12">
                  <c:v>59.06</c:v>
                </c:pt>
                <c:pt idx="13">
                  <c:v>63.98</c:v>
                </c:pt>
                <c:pt idx="14">
                  <c:v>68.91</c:v>
                </c:pt>
                <c:pt idx="15">
                  <c:v>73.83</c:v>
                </c:pt>
                <c:pt idx="16">
                  <c:v>78.75</c:v>
                </c:pt>
                <c:pt idx="17">
                  <c:v>83.67</c:v>
                </c:pt>
                <c:pt idx="18">
                  <c:v>88.59</c:v>
                </c:pt>
                <c:pt idx="19">
                  <c:v>93.52</c:v>
                </c:pt>
                <c:pt idx="20">
                  <c:v>98.44</c:v>
                </c:pt>
                <c:pt idx="21">
                  <c:v>103.36</c:v>
                </c:pt>
                <c:pt idx="22">
                  <c:v>108.28</c:v>
                </c:pt>
                <c:pt idx="23">
                  <c:v>113.2</c:v>
                </c:pt>
                <c:pt idx="24">
                  <c:v>118.12</c:v>
                </c:pt>
                <c:pt idx="25">
                  <c:v>123.05</c:v>
                </c:pt>
                <c:pt idx="26">
                  <c:v>127.97</c:v>
                </c:pt>
                <c:pt idx="27">
                  <c:v>132.89</c:v>
                </c:pt>
                <c:pt idx="28">
                  <c:v>137.81</c:v>
                </c:pt>
                <c:pt idx="29">
                  <c:v>142.73</c:v>
                </c:pt>
                <c:pt idx="30">
                  <c:v>147.66</c:v>
                </c:pt>
                <c:pt idx="31">
                  <c:v>152.58</c:v>
                </c:pt>
                <c:pt idx="32">
                  <c:v>157.5</c:v>
                </c:pt>
                <c:pt idx="33">
                  <c:v>162.42</c:v>
                </c:pt>
                <c:pt idx="34">
                  <c:v>167.34</c:v>
                </c:pt>
                <c:pt idx="35">
                  <c:v>172.27</c:v>
                </c:pt>
                <c:pt idx="36">
                  <c:v>177.19</c:v>
                </c:pt>
                <c:pt idx="37">
                  <c:v>182.11</c:v>
                </c:pt>
              </c:numCache>
            </c:numRef>
          </c:xVal>
          <c:yVal>
            <c:numRef>
              <c:f>'Further sheet'!$E$4:$E$41</c:f>
              <c:numCache>
                <c:formatCode>General</c:formatCode>
                <c:ptCount val="38"/>
                <c:pt idx="0">
                  <c:v>1.25</c:v>
                </c:pt>
                <c:pt idx="1">
                  <c:v>1.58</c:v>
                </c:pt>
                <c:pt idx="2">
                  <c:v>1.75</c:v>
                </c:pt>
                <c:pt idx="3">
                  <c:v>1.95</c:v>
                </c:pt>
                <c:pt idx="4">
                  <c:v>2.05</c:v>
                </c:pt>
                <c:pt idx="5">
                  <c:v>2.23</c:v>
                </c:pt>
                <c:pt idx="6">
                  <c:v>2.4</c:v>
                </c:pt>
                <c:pt idx="7">
                  <c:v>2.44</c:v>
                </c:pt>
                <c:pt idx="8">
                  <c:v>2.51</c:v>
                </c:pt>
                <c:pt idx="9">
                  <c:v>2.55</c:v>
                </c:pt>
                <c:pt idx="10">
                  <c:v>2.52</c:v>
                </c:pt>
                <c:pt idx="11">
                  <c:v>2.47</c:v>
                </c:pt>
                <c:pt idx="12">
                  <c:v>2.4</c:v>
                </c:pt>
                <c:pt idx="13">
                  <c:v>2.28</c:v>
                </c:pt>
                <c:pt idx="14">
                  <c:v>2.16</c:v>
                </c:pt>
                <c:pt idx="15">
                  <c:v>1.94</c:v>
                </c:pt>
                <c:pt idx="16">
                  <c:v>1.79</c:v>
                </c:pt>
                <c:pt idx="17">
                  <c:v>1.64</c:v>
                </c:pt>
                <c:pt idx="18">
                  <c:v>1.41</c:v>
                </c:pt>
                <c:pt idx="19">
                  <c:v>1.19</c:v>
                </c:pt>
                <c:pt idx="20">
                  <c:v>0.99</c:v>
                </c:pt>
                <c:pt idx="21">
                  <c:v>0.83</c:v>
                </c:pt>
                <c:pt idx="22">
                  <c:v>0.64</c:v>
                </c:pt>
                <c:pt idx="23">
                  <c:v>0.47</c:v>
                </c:pt>
                <c:pt idx="24">
                  <c:v>0.34</c:v>
                </c:pt>
                <c:pt idx="25">
                  <c:v>0.25</c:v>
                </c:pt>
                <c:pt idx="26">
                  <c:v>0.2</c:v>
                </c:pt>
                <c:pt idx="27">
                  <c:v>0.16</c:v>
                </c:pt>
                <c:pt idx="28">
                  <c:v>0.17</c:v>
                </c:pt>
                <c:pt idx="29">
                  <c:v>0.19</c:v>
                </c:pt>
                <c:pt idx="30">
                  <c:v>0.26</c:v>
                </c:pt>
                <c:pt idx="31">
                  <c:v>0.34</c:v>
                </c:pt>
                <c:pt idx="32">
                  <c:v>0.48</c:v>
                </c:pt>
                <c:pt idx="33">
                  <c:v>0.7</c:v>
                </c:pt>
                <c:pt idx="34">
                  <c:v>0.81</c:v>
                </c:pt>
                <c:pt idx="35">
                  <c:v>1</c:v>
                </c:pt>
                <c:pt idx="36">
                  <c:v>1.17</c:v>
                </c:pt>
                <c:pt idx="37">
                  <c:v>1.43</c:v>
                </c:pt>
              </c:numCache>
            </c:numRef>
          </c:yVal>
          <c:smooth val="0"/>
        </c:ser>
        <c:ser>
          <c:idx val="1"/>
          <c:order val="1"/>
          <c:spPr>
            <a:solidFill>
              <a:srgbClr val="ff0000"/>
            </a:solidFill>
            <a:ln w="1908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'Further sheet'!$D$4:$D$41</c:f>
              <c:numCache>
                <c:formatCode>General</c:formatCode>
                <c:ptCount val="38"/>
                <c:pt idx="0">
                  <c:v>0</c:v>
                </c:pt>
                <c:pt idx="1">
                  <c:v>4.92</c:v>
                </c:pt>
                <c:pt idx="2">
                  <c:v>9.84</c:v>
                </c:pt>
                <c:pt idx="3">
                  <c:v>14.77</c:v>
                </c:pt>
                <c:pt idx="4">
                  <c:v>19.69</c:v>
                </c:pt>
                <c:pt idx="5">
                  <c:v>24.61</c:v>
                </c:pt>
                <c:pt idx="6">
                  <c:v>29.53</c:v>
                </c:pt>
                <c:pt idx="7">
                  <c:v>34.45</c:v>
                </c:pt>
                <c:pt idx="8">
                  <c:v>39.38</c:v>
                </c:pt>
                <c:pt idx="9">
                  <c:v>44.3</c:v>
                </c:pt>
                <c:pt idx="10">
                  <c:v>49.22</c:v>
                </c:pt>
                <c:pt idx="11">
                  <c:v>54.14</c:v>
                </c:pt>
                <c:pt idx="12">
                  <c:v>59.06</c:v>
                </c:pt>
                <c:pt idx="13">
                  <c:v>63.98</c:v>
                </c:pt>
                <c:pt idx="14">
                  <c:v>68.91</c:v>
                </c:pt>
                <c:pt idx="15">
                  <c:v>73.83</c:v>
                </c:pt>
                <c:pt idx="16">
                  <c:v>78.75</c:v>
                </c:pt>
                <c:pt idx="17">
                  <c:v>83.67</c:v>
                </c:pt>
                <c:pt idx="18">
                  <c:v>88.59</c:v>
                </c:pt>
                <c:pt idx="19">
                  <c:v>93.52</c:v>
                </c:pt>
                <c:pt idx="20">
                  <c:v>98.44</c:v>
                </c:pt>
                <c:pt idx="21">
                  <c:v>103.36</c:v>
                </c:pt>
                <c:pt idx="22">
                  <c:v>108.28</c:v>
                </c:pt>
                <c:pt idx="23">
                  <c:v>113.2</c:v>
                </c:pt>
                <c:pt idx="24">
                  <c:v>118.12</c:v>
                </c:pt>
                <c:pt idx="25">
                  <c:v>123.05</c:v>
                </c:pt>
                <c:pt idx="26">
                  <c:v>127.97</c:v>
                </c:pt>
                <c:pt idx="27">
                  <c:v>132.89</c:v>
                </c:pt>
                <c:pt idx="28">
                  <c:v>137.81</c:v>
                </c:pt>
                <c:pt idx="29">
                  <c:v>142.73</c:v>
                </c:pt>
                <c:pt idx="30">
                  <c:v>147.66</c:v>
                </c:pt>
                <c:pt idx="31">
                  <c:v>152.58</c:v>
                </c:pt>
                <c:pt idx="32">
                  <c:v>157.5</c:v>
                </c:pt>
                <c:pt idx="33">
                  <c:v>162.42</c:v>
                </c:pt>
                <c:pt idx="34">
                  <c:v>167.34</c:v>
                </c:pt>
                <c:pt idx="35">
                  <c:v>172.27</c:v>
                </c:pt>
                <c:pt idx="36">
                  <c:v>177.19</c:v>
                </c:pt>
                <c:pt idx="37">
                  <c:v>182.11</c:v>
                </c:pt>
              </c:numCache>
            </c:numRef>
          </c:xVal>
          <c:yVal>
            <c:numRef>
              <c:f>'Further sheet'!$H$4:$H$41</c:f>
              <c:numCache>
                <c:formatCode>General</c:formatCode>
                <c:ptCount val="38"/>
                <c:pt idx="0">
                  <c:v>1.325</c:v>
                </c:pt>
                <c:pt idx="1">
                  <c:v>1.53751342151608</c:v>
                </c:pt>
                <c:pt idx="2">
                  <c:v>1.73406842417152</c:v>
                </c:pt>
                <c:pt idx="3">
                  <c:v>1.9192418096026</c:v>
                </c:pt>
                <c:pt idx="4">
                  <c:v>2.08683597646841</c:v>
                </c:pt>
                <c:pt idx="5">
                  <c:v>2.23230936917137</c:v>
                </c:pt>
                <c:pt idx="6">
                  <c:v>2.3513818200055</c:v>
                </c:pt>
                <c:pt idx="7">
                  <c:v>2.4405499387682</c:v>
                </c:pt>
                <c:pt idx="8">
                  <c:v>2.49727088845207</c:v>
                </c:pt>
                <c:pt idx="9">
                  <c:v>2.5196462653907</c:v>
                </c:pt>
                <c:pt idx="10">
                  <c:v>2.50716657643764</c:v>
                </c:pt>
                <c:pt idx="11">
                  <c:v>2.46019900325162</c:v>
                </c:pt>
                <c:pt idx="12">
                  <c:v>2.38012544176734</c:v>
                </c:pt>
                <c:pt idx="13">
                  <c:v>2.26930184358254</c:v>
                </c:pt>
                <c:pt idx="14">
                  <c:v>2.13068242119969</c:v>
                </c:pt>
                <c:pt idx="15">
                  <c:v>1.96890665299759</c:v>
                </c:pt>
                <c:pt idx="16">
                  <c:v>1.78847986735263</c:v>
                </c:pt>
                <c:pt idx="17">
                  <c:v>1.59471064260251</c:v>
                </c:pt>
                <c:pt idx="18">
                  <c:v>1.39330012287249</c:v>
                </c:pt>
                <c:pt idx="19">
                  <c:v>1.18976374372414</c:v>
                </c:pt>
                <c:pt idx="20">
                  <c:v>0.990913700837743</c:v>
                </c:pt>
                <c:pt idx="21">
                  <c:v>0.802187482235535</c:v>
                </c:pt>
                <c:pt idx="22">
                  <c:v>0.629137854998327</c:v>
                </c:pt>
                <c:pt idx="23">
                  <c:v>0.476856344196601</c:v>
                </c:pt>
                <c:pt idx="24">
                  <c:v>0.349823428305786</c:v>
                </c:pt>
                <c:pt idx="25">
                  <c:v>0.251609063047397</c:v>
                </c:pt>
                <c:pt idx="26">
                  <c:v>0.185500402676387</c:v>
                </c:pt>
                <c:pt idx="27">
                  <c:v>0.153212710958821</c:v>
                </c:pt>
                <c:pt idx="28">
                  <c:v>0.155695967357082</c:v>
                </c:pt>
                <c:pt idx="29">
                  <c:v>0.192877108655661</c:v>
                </c:pt>
                <c:pt idx="30">
                  <c:v>0.263839017520689</c:v>
                </c:pt>
                <c:pt idx="31">
                  <c:v>0.366206657061669</c:v>
                </c:pt>
                <c:pt idx="32">
                  <c:v>0.497078464293941</c:v>
                </c:pt>
                <c:pt idx="33">
                  <c:v>0.652603884332293</c:v>
                </c:pt>
                <c:pt idx="34">
                  <c:v>0.828206995298913</c:v>
                </c:pt>
                <c:pt idx="35">
                  <c:v>1.01911979950106</c:v>
                </c:pt>
                <c:pt idx="36">
                  <c:v>1.21895260195872</c:v>
                </c:pt>
                <c:pt idx="37">
                  <c:v>1.42219979048542</c:v>
                </c:pt>
              </c:numCache>
            </c:numRef>
          </c:yVal>
          <c:smooth val="0"/>
        </c:ser>
        <c:axId val="9283668"/>
        <c:axId val="68411000"/>
      </c:scatterChart>
      <c:valAx>
        <c:axId val="92836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8411000"/>
        <c:crosses val="autoZero"/>
        <c:crossBetween val="midCat"/>
      </c:valAx>
      <c:valAx>
        <c:axId val="6841100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283668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492480</xdr:colOff>
      <xdr:row>3</xdr:row>
      <xdr:rowOff>129240</xdr:rowOff>
    </xdr:from>
    <xdr:to>
      <xdr:col>10</xdr:col>
      <xdr:colOff>258120</xdr:colOff>
      <xdr:row>29</xdr:row>
      <xdr:rowOff>128880</xdr:rowOff>
    </xdr:to>
    <xdr:graphicFrame>
      <xdr:nvGraphicFramePr>
        <xdr:cNvPr id="0" name="Gráfico 3"/>
        <xdr:cNvGraphicFramePr/>
      </xdr:nvGraphicFramePr>
      <xdr:xfrm>
        <a:off x="2659680" y="614880"/>
        <a:ext cx="6307920" cy="4209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324000</xdr:colOff>
      <xdr:row>9</xdr:row>
      <xdr:rowOff>57240</xdr:rowOff>
    </xdr:from>
    <xdr:to>
      <xdr:col>15</xdr:col>
      <xdr:colOff>399960</xdr:colOff>
      <xdr:row>32</xdr:row>
      <xdr:rowOff>85320</xdr:rowOff>
    </xdr:to>
    <xdr:graphicFrame>
      <xdr:nvGraphicFramePr>
        <xdr:cNvPr id="1" name="Gráfico 1"/>
        <xdr:cNvGraphicFramePr/>
      </xdr:nvGraphicFramePr>
      <xdr:xfrm>
        <a:off x="6770520" y="1514520"/>
        <a:ext cx="5716440" cy="375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1" width="15.71"/>
    <col collapsed="false" customWidth="true" hidden="false" outlineLevel="0" max="2" min="2" style="1" width="15"/>
    <col collapsed="false" customWidth="true" hidden="false" outlineLevel="0" max="3" min="3" style="2" width="12.57"/>
    <col collapsed="false" customWidth="true" hidden="false" outlineLevel="0" max="4" min="4" style="3" width="15.86"/>
    <col collapsed="false" customWidth="true" hidden="false" outlineLevel="0" max="5" min="5" style="1" width="9.14"/>
    <col collapsed="false" customWidth="true" hidden="false" outlineLevel="0" max="6" min="6" style="2" width="9.14"/>
    <col collapsed="false" customWidth="true" hidden="false" outlineLevel="0" max="7" min="7" style="1" width="18.58"/>
    <col collapsed="false" customWidth="true" hidden="false" outlineLevel="0" max="10" min="8" style="1" width="9.14"/>
    <col collapsed="false" customWidth="true" hidden="false" outlineLevel="0" max="11" min="11" style="1" width="11.42"/>
    <col collapsed="false" customWidth="true" hidden="false" outlineLevel="0" max="26" min="12" style="1" width="9.14"/>
    <col collapsed="false" customWidth="true" hidden="false" outlineLevel="0" max="256" min="27" style="4" width="9.14"/>
    <col collapsed="false" customWidth="false" hidden="false" outlineLevel="0" max="1025" min="257" style="4" width="11.57"/>
  </cols>
  <sheetData>
    <row r="1" customFormat="false" ht="12.75" hidden="false" customHeight="false" outlineLevel="0" collapsed="false">
      <c r="A1" s="5" t="s">
        <v>0</v>
      </c>
      <c r="B1" s="5" t="s">
        <v>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025" min="1" style="0" width="11.42"/>
  </cols>
  <sheetData>
    <row r="1" customFormat="false" ht="12.75" hidden="false" customHeight="false" outlineLevel="0" collapsed="false">
      <c r="F1" s="6" t="s">
        <v>2</v>
      </c>
      <c r="G1" s="6" t="s">
        <v>3</v>
      </c>
      <c r="H1" s="6" t="s">
        <v>4</v>
      </c>
    </row>
    <row r="2" customFormat="false" ht="12.75" hidden="false" customHeight="false" outlineLevel="0" collapsed="false">
      <c r="A2" s="7" t="n">
        <v>0</v>
      </c>
      <c r="B2" s="7" t="n">
        <v>3.11</v>
      </c>
      <c r="F2" s="0" t="n">
        <v>2.37</v>
      </c>
      <c r="G2" s="0" t="n">
        <v>45</v>
      </c>
      <c r="H2" s="8" t="n">
        <f aca="false">G$2*PI()/180</f>
        <v>0.785398163397448</v>
      </c>
    </row>
    <row r="3" customFormat="false" ht="12.75" hidden="false" customHeight="false" outlineLevel="0" collapsed="false">
      <c r="A3" s="7" t="n">
        <v>1.93</v>
      </c>
      <c r="B3" s="7" t="n">
        <v>3.18</v>
      </c>
    </row>
    <row r="4" customFormat="false" ht="12.75" hidden="false" customHeight="false" outlineLevel="0" collapsed="false">
      <c r="A4" s="7" t="n">
        <v>3.87</v>
      </c>
      <c r="B4" s="7" t="n">
        <v>3.18</v>
      </c>
      <c r="D4" s="7" t="n">
        <v>0</v>
      </c>
      <c r="E4" s="7" t="n">
        <v>1.25</v>
      </c>
      <c r="G4" s="9" t="n">
        <f aca="false">D4*PI()/180</f>
        <v>0</v>
      </c>
      <c r="H4" s="9" t="n">
        <f aca="false">F$2*COS(G4-H$2)^2+0.14</f>
        <v>1.325</v>
      </c>
    </row>
    <row r="5" customFormat="false" ht="12.75" hidden="false" customHeight="false" outlineLevel="0" collapsed="false">
      <c r="A5" s="7" t="n">
        <v>5.8</v>
      </c>
      <c r="B5" s="7" t="n">
        <v>3.18</v>
      </c>
      <c r="D5" s="7" t="n">
        <v>4.92</v>
      </c>
      <c r="E5" s="7" t="n">
        <v>1.58</v>
      </c>
      <c r="G5" s="9" t="n">
        <f aca="false">D5*PI()/180</f>
        <v>0.085870199198121</v>
      </c>
      <c r="H5" s="9" t="n">
        <f aca="false">F$2*COS(G5-H$2)^2+0.15</f>
        <v>1.53751342151608</v>
      </c>
    </row>
    <row r="6" customFormat="false" ht="12.75" hidden="false" customHeight="false" outlineLevel="0" collapsed="false">
      <c r="A6" s="7" t="n">
        <v>7.73</v>
      </c>
      <c r="B6" s="7" t="n">
        <v>3.17</v>
      </c>
      <c r="D6" s="7" t="n">
        <v>9.84</v>
      </c>
      <c r="E6" s="7" t="n">
        <v>1.75</v>
      </c>
      <c r="G6" s="9" t="n">
        <f aca="false">D6*PI()/180</f>
        <v>0.171740398396242</v>
      </c>
      <c r="H6" s="9" t="n">
        <f aca="false">F$2*COS(G6-H$2)^2+0.15</f>
        <v>1.73406842417152</v>
      </c>
    </row>
    <row r="7" customFormat="false" ht="12.75" hidden="false" customHeight="false" outlineLevel="0" collapsed="false">
      <c r="A7" s="7" t="n">
        <v>9.67</v>
      </c>
      <c r="B7" s="7" t="n">
        <v>3.16</v>
      </c>
      <c r="D7" s="7" t="n">
        <v>14.77</v>
      </c>
      <c r="E7" s="7" t="n">
        <v>1.95</v>
      </c>
      <c r="G7" s="9" t="n">
        <f aca="false">D7*PI()/180</f>
        <v>0.257785130519562</v>
      </c>
      <c r="H7" s="9" t="n">
        <f aca="false">F$2*COS(G7-H$2)^2+0.15</f>
        <v>1.9192418096026</v>
      </c>
    </row>
    <row r="8" customFormat="false" ht="12.75" hidden="false" customHeight="false" outlineLevel="0" collapsed="false">
      <c r="A8" s="7" t="n">
        <v>11.6</v>
      </c>
      <c r="B8" s="7" t="n">
        <v>3.15</v>
      </c>
      <c r="D8" s="7" t="n">
        <v>19.69</v>
      </c>
      <c r="E8" s="7" t="n">
        <v>2.05</v>
      </c>
      <c r="G8" s="9" t="n">
        <f aca="false">D8*PI()/180</f>
        <v>0.343655329717683</v>
      </c>
      <c r="H8" s="9" t="n">
        <f aca="false">F$2*COS(G8-H$2)^2+0.15</f>
        <v>2.08683597646841</v>
      </c>
    </row>
    <row r="9" customFormat="false" ht="12.75" hidden="false" customHeight="false" outlineLevel="0" collapsed="false">
      <c r="A9" s="7" t="n">
        <v>13.54</v>
      </c>
      <c r="B9" s="7" t="n">
        <v>3.14</v>
      </c>
      <c r="D9" s="7" t="n">
        <v>24.61</v>
      </c>
      <c r="E9" s="7" t="n">
        <v>2.23</v>
      </c>
      <c r="G9" s="9" t="n">
        <f aca="false">D9*PI()/180</f>
        <v>0.429525528915804</v>
      </c>
      <c r="H9" s="9" t="n">
        <f aca="false">F$2*COS(G9-H$2)^2+0.15</f>
        <v>2.23230936917137</v>
      </c>
    </row>
    <row r="10" customFormat="false" ht="12.75" hidden="false" customHeight="false" outlineLevel="0" collapsed="false">
      <c r="A10" s="7" t="n">
        <v>15.47</v>
      </c>
      <c r="B10" s="7" t="n">
        <v>3.13</v>
      </c>
      <c r="D10" s="7" t="n">
        <v>29.53</v>
      </c>
      <c r="E10" s="7" t="n">
        <v>2.4</v>
      </c>
      <c r="G10" s="9" t="n">
        <f aca="false">D10*PI()/180</f>
        <v>0.515395728113926</v>
      </c>
      <c r="H10" s="9" t="n">
        <f aca="false">F$2*COS(G10-H$2)^2+0.15</f>
        <v>2.3513818200055</v>
      </c>
    </row>
    <row r="11" customFormat="false" ht="12.75" hidden="false" customHeight="false" outlineLevel="0" collapsed="false">
      <c r="A11" s="7" t="n">
        <v>17.4</v>
      </c>
      <c r="B11" s="7" t="n">
        <v>3.11</v>
      </c>
      <c r="D11" s="7" t="n">
        <v>34.45</v>
      </c>
      <c r="E11" s="7" t="n">
        <v>2.44</v>
      </c>
      <c r="G11" s="9" t="n">
        <f aca="false">D11*PI()/180</f>
        <v>0.601265927312047</v>
      </c>
      <c r="H11" s="9" t="n">
        <f aca="false">F$2*COS(G11-H$2)^2+0.15</f>
        <v>2.4405499387682</v>
      </c>
    </row>
    <row r="12" customFormat="false" ht="12.75" hidden="false" customHeight="false" outlineLevel="0" collapsed="false">
      <c r="A12" s="7" t="n">
        <v>19.34</v>
      </c>
      <c r="B12" s="7" t="n">
        <v>3.1</v>
      </c>
      <c r="D12" s="7" t="n">
        <v>39.38</v>
      </c>
      <c r="E12" s="7" t="n">
        <v>2.51</v>
      </c>
      <c r="G12" s="9" t="n">
        <f aca="false">D12*PI()/180</f>
        <v>0.687310659435367</v>
      </c>
      <c r="H12" s="9" t="n">
        <f aca="false">F$2*COS(G12-H$2)^2+0.15</f>
        <v>2.49727088845207</v>
      </c>
    </row>
    <row r="13" customFormat="false" ht="12.75" hidden="false" customHeight="false" outlineLevel="0" collapsed="false">
      <c r="A13" s="7" t="n">
        <v>21.27</v>
      </c>
      <c r="B13" s="10" t="n">
        <v>3.08</v>
      </c>
      <c r="D13" s="7" t="n">
        <v>44.3</v>
      </c>
      <c r="E13" s="7" t="n">
        <v>2.55</v>
      </c>
      <c r="G13" s="9" t="n">
        <f aca="false">D13*PI()/180</f>
        <v>0.773180858633488</v>
      </c>
      <c r="H13" s="9" t="n">
        <f aca="false">F$2*COS(G13-H$2)^2+0.15</f>
        <v>2.5196462653907</v>
      </c>
    </row>
    <row r="14" customFormat="false" ht="12.75" hidden="false" customHeight="false" outlineLevel="0" collapsed="false">
      <c r="A14" s="7" t="n">
        <v>23.2</v>
      </c>
      <c r="B14" s="7" t="n">
        <v>3.06</v>
      </c>
      <c r="D14" s="7" t="n">
        <v>49.22</v>
      </c>
      <c r="E14" s="7" t="n">
        <v>2.52</v>
      </c>
      <c r="G14" s="9" t="n">
        <f aca="false">D14*PI()/180</f>
        <v>0.859051057831609</v>
      </c>
      <c r="H14" s="9" t="n">
        <f aca="false">F$2*COS(G14-H$2)^2+0.15</f>
        <v>2.50716657643764</v>
      </c>
    </row>
    <row r="15" customFormat="false" ht="12.75" hidden="false" customHeight="false" outlineLevel="0" collapsed="false">
      <c r="A15" s="7" t="n">
        <v>25.14</v>
      </c>
      <c r="B15" s="7" t="n">
        <v>3.04</v>
      </c>
      <c r="D15" s="7" t="n">
        <v>54.14</v>
      </c>
      <c r="E15" s="10" t="n">
        <v>2.47</v>
      </c>
      <c r="G15" s="9" t="n">
        <f aca="false">D15*PI()/180</f>
        <v>0.94492125702973</v>
      </c>
      <c r="H15" s="9" t="n">
        <f aca="false">F$2*COS(G15-H$2)^2+0.15</f>
        <v>2.46019900325162</v>
      </c>
    </row>
    <row r="16" customFormat="false" ht="12.75" hidden="false" customHeight="false" outlineLevel="0" collapsed="false">
      <c r="A16" s="7" t="n">
        <v>27.07</v>
      </c>
      <c r="B16" s="7" t="n">
        <v>3.01</v>
      </c>
      <c r="D16" s="7" t="n">
        <v>59.06</v>
      </c>
      <c r="E16" s="7" t="n">
        <v>2.4</v>
      </c>
      <c r="G16" s="9" t="n">
        <f aca="false">D16*PI()/180</f>
        <v>1.03079145622785</v>
      </c>
      <c r="H16" s="9" t="n">
        <f aca="false">F$2*COS(G16-H$2)^2+0.15</f>
        <v>2.38012544176734</v>
      </c>
    </row>
    <row r="17" customFormat="false" ht="12.75" hidden="false" customHeight="false" outlineLevel="0" collapsed="false">
      <c r="A17" s="7" t="n">
        <v>29</v>
      </c>
      <c r="B17" s="7" t="n">
        <v>2.98</v>
      </c>
      <c r="D17" s="7" t="n">
        <v>63.98</v>
      </c>
      <c r="E17" s="7" t="n">
        <v>2.28</v>
      </c>
      <c r="G17" s="9" t="n">
        <f aca="false">D17*PI()/180</f>
        <v>1.11666165542597</v>
      </c>
      <c r="H17" s="9" t="n">
        <f aca="false">F$2*COS(G17-H$2)^2+0.15</f>
        <v>2.26930184358254</v>
      </c>
    </row>
    <row r="18" customFormat="false" ht="12.75" hidden="false" customHeight="false" outlineLevel="0" collapsed="false">
      <c r="A18" s="7" t="n">
        <v>30.94</v>
      </c>
      <c r="B18" s="7" t="n">
        <v>2.97</v>
      </c>
      <c r="D18" s="7" t="n">
        <v>68.91</v>
      </c>
      <c r="E18" s="7" t="n">
        <v>2.16</v>
      </c>
      <c r="G18" s="9" t="n">
        <f aca="false">D18*PI()/180</f>
        <v>1.20270638754929</v>
      </c>
      <c r="H18" s="9" t="n">
        <f aca="false">F$2*COS(G18-H$2)^2+0.15</f>
        <v>2.13068242119969</v>
      </c>
    </row>
    <row r="19" customFormat="false" ht="12.75" hidden="false" customHeight="false" outlineLevel="0" collapsed="false">
      <c r="A19" s="7" t="n">
        <v>32.87</v>
      </c>
      <c r="B19" s="7" t="n">
        <v>2.94</v>
      </c>
      <c r="D19" s="7" t="n">
        <v>73.83</v>
      </c>
      <c r="E19" s="7" t="n">
        <v>1.94</v>
      </c>
      <c r="G19" s="9" t="n">
        <f aca="false">D19*PI()/180</f>
        <v>1.28857658674741</v>
      </c>
      <c r="H19" s="9" t="n">
        <f aca="false">F$2*COS(G19-H$2)^2+0.15</f>
        <v>1.96890665299759</v>
      </c>
    </row>
    <row r="20" customFormat="false" ht="12.75" hidden="false" customHeight="false" outlineLevel="0" collapsed="false">
      <c r="A20" s="7" t="n">
        <v>34.8</v>
      </c>
      <c r="B20" s="7" t="n">
        <v>2.92</v>
      </c>
      <c r="D20" s="7" t="n">
        <v>78.75</v>
      </c>
      <c r="E20" s="7" t="n">
        <v>1.79</v>
      </c>
      <c r="G20" s="9" t="n">
        <f aca="false">D20*PI()/180</f>
        <v>1.37444678594553</v>
      </c>
      <c r="H20" s="9" t="n">
        <f aca="false">F$2*COS(G20-H$2)^2+0.15</f>
        <v>1.78847986735263</v>
      </c>
    </row>
    <row r="21" customFormat="false" ht="12.75" hidden="false" customHeight="false" outlineLevel="0" collapsed="false">
      <c r="A21" s="7" t="n">
        <v>36.74</v>
      </c>
      <c r="B21" s="7" t="n">
        <v>2.89</v>
      </c>
      <c r="D21" s="7" t="n">
        <v>83.67</v>
      </c>
      <c r="E21" s="7" t="n">
        <v>1.64</v>
      </c>
      <c r="G21" s="9" t="n">
        <f aca="false">D21*PI()/180</f>
        <v>1.46031698514366</v>
      </c>
      <c r="H21" s="9" t="n">
        <f aca="false">F$2*COS(G21-H$2)^2+0.15</f>
        <v>1.59471064260251</v>
      </c>
    </row>
    <row r="22" customFormat="false" ht="12.75" hidden="false" customHeight="false" outlineLevel="0" collapsed="false">
      <c r="A22" s="7" t="n">
        <v>38.67</v>
      </c>
      <c r="B22" s="7" t="n">
        <v>2.86</v>
      </c>
      <c r="D22" s="7" t="n">
        <v>88.59</v>
      </c>
      <c r="E22" s="7" t="n">
        <v>1.41</v>
      </c>
      <c r="G22" s="9" t="n">
        <f aca="false">D22*PI()/180</f>
        <v>1.54618718434178</v>
      </c>
      <c r="H22" s="9" t="n">
        <f aca="false">F$2*COS(G22-H$2)^2+0.15</f>
        <v>1.39330012287249</v>
      </c>
    </row>
    <row r="23" customFormat="false" ht="12.75" hidden="false" customHeight="false" outlineLevel="0" collapsed="false">
      <c r="A23" s="7" t="n">
        <v>40.61</v>
      </c>
      <c r="B23" s="7" t="n">
        <v>2.83</v>
      </c>
      <c r="D23" s="7" t="n">
        <v>93.52</v>
      </c>
      <c r="E23" s="7" t="n">
        <v>1.19</v>
      </c>
      <c r="G23" s="9" t="n">
        <f aca="false">D23*PI()/180</f>
        <v>1.6322319164651</v>
      </c>
      <c r="H23" s="9" t="n">
        <f aca="false">F$2*COS(G23-H$2)^2+0.15</f>
        <v>1.18976374372414</v>
      </c>
    </row>
    <row r="24" customFormat="false" ht="12.75" hidden="false" customHeight="false" outlineLevel="0" collapsed="false">
      <c r="A24" s="7" t="n">
        <v>42.54</v>
      </c>
      <c r="B24" s="7" t="n">
        <v>2.8</v>
      </c>
      <c r="D24" s="7" t="n">
        <v>98.44</v>
      </c>
      <c r="E24" s="7" t="n">
        <v>0.99</v>
      </c>
      <c r="G24" s="9" t="n">
        <f aca="false">D24*PI()/180</f>
        <v>1.71810211566322</v>
      </c>
      <c r="H24" s="9" t="n">
        <f aca="false">F$2*COS(G24-H$2)^2+0.15</f>
        <v>0.990913700837743</v>
      </c>
    </row>
    <row r="25" customFormat="false" ht="12.75" hidden="false" customHeight="false" outlineLevel="0" collapsed="false">
      <c r="A25" s="7" t="n">
        <v>44.47</v>
      </c>
      <c r="B25" s="7" t="n">
        <v>2.75</v>
      </c>
      <c r="D25" s="7" t="n">
        <v>103.36</v>
      </c>
      <c r="E25" s="7" t="n">
        <v>0.83</v>
      </c>
      <c r="G25" s="9" t="n">
        <f aca="false">D25*PI()/180</f>
        <v>1.80397231486134</v>
      </c>
      <c r="H25" s="9" t="n">
        <f aca="false">F$2*COS(G25-H$2)^2+0.15</f>
        <v>0.802187482235535</v>
      </c>
    </row>
    <row r="26" customFormat="false" ht="12.75" hidden="false" customHeight="false" outlineLevel="0" collapsed="false">
      <c r="A26" s="7" t="n">
        <v>46.41</v>
      </c>
      <c r="B26" s="7" t="n">
        <v>2.71</v>
      </c>
      <c r="D26" s="7" t="n">
        <v>108.28</v>
      </c>
      <c r="E26" s="7" t="n">
        <v>0.64</v>
      </c>
      <c r="G26" s="9" t="n">
        <f aca="false">D26*PI()/180</f>
        <v>1.88984251405946</v>
      </c>
      <c r="H26" s="9" t="n">
        <f aca="false">F$2*COS(G26-H$2)^2+0.15</f>
        <v>0.629137854998327</v>
      </c>
    </row>
    <row r="27" customFormat="false" ht="12.75" hidden="false" customHeight="false" outlineLevel="0" collapsed="false">
      <c r="A27" s="7" t="n">
        <v>48.34</v>
      </c>
      <c r="B27" s="7" t="n">
        <v>2.66</v>
      </c>
      <c r="D27" s="7" t="n">
        <v>113.2</v>
      </c>
      <c r="E27" s="7" t="n">
        <v>0.47</v>
      </c>
      <c r="G27" s="9" t="n">
        <f aca="false">D27*PI()/180</f>
        <v>1.97571271325758</v>
      </c>
      <c r="H27" s="9" t="n">
        <f aca="false">F$2*COS(G27-H$2)^2+0.15</f>
        <v>0.476856344196601</v>
      </c>
    </row>
    <row r="28" customFormat="false" ht="12.75" hidden="false" customHeight="false" outlineLevel="0" collapsed="false">
      <c r="A28" s="7" t="n">
        <v>50.27</v>
      </c>
      <c r="B28" s="7" t="n">
        <v>2.61</v>
      </c>
      <c r="D28" s="7" t="n">
        <v>118.12</v>
      </c>
      <c r="E28" s="7" t="n">
        <v>0.34</v>
      </c>
      <c r="G28" s="9" t="n">
        <f aca="false">D28*PI()/180</f>
        <v>2.0615829124557</v>
      </c>
      <c r="H28" s="9" t="n">
        <f aca="false">F$2*COS(G28-H$2)^2+0.15</f>
        <v>0.349823428305786</v>
      </c>
    </row>
    <row r="29" customFormat="false" ht="12.75" hidden="false" customHeight="false" outlineLevel="0" collapsed="false">
      <c r="A29" s="7" t="n">
        <v>52.21</v>
      </c>
      <c r="B29" s="7" t="n">
        <v>2.56</v>
      </c>
      <c r="D29" s="7" t="n">
        <v>123.05</v>
      </c>
      <c r="E29" s="7" t="n">
        <v>0.25</v>
      </c>
      <c r="G29" s="9" t="n">
        <f aca="false">D29*PI()/180</f>
        <v>2.14762764457902</v>
      </c>
      <c r="H29" s="9" t="n">
        <f aca="false">F$2*COS(G29-H$2)^2+0.15</f>
        <v>0.251609063047397</v>
      </c>
    </row>
    <row r="30" customFormat="false" ht="12.75" hidden="false" customHeight="false" outlineLevel="0" collapsed="false">
      <c r="A30" s="7" t="n">
        <v>54.14</v>
      </c>
      <c r="B30" s="7" t="n">
        <v>2.5</v>
      </c>
      <c r="D30" s="7" t="n">
        <v>127.97</v>
      </c>
      <c r="E30" s="7" t="n">
        <v>0.2</v>
      </c>
      <c r="G30" s="9" t="n">
        <f aca="false">D30*PI()/180</f>
        <v>2.23349784377714</v>
      </c>
      <c r="H30" s="9" t="n">
        <f aca="false">F$2*COS(G30-H$2)^2+0.15</f>
        <v>0.185500402676387</v>
      </c>
    </row>
    <row r="31" customFormat="false" ht="12.75" hidden="false" customHeight="false" outlineLevel="0" collapsed="false">
      <c r="A31" s="7" t="n">
        <v>56.07</v>
      </c>
      <c r="B31" s="7" t="n">
        <v>2.44</v>
      </c>
      <c r="D31" s="7" t="n">
        <v>132.89</v>
      </c>
      <c r="E31" s="7" t="n">
        <v>0.16</v>
      </c>
      <c r="G31" s="9" t="n">
        <f aca="false">D31*PI()/180</f>
        <v>2.31936804297526</v>
      </c>
      <c r="H31" s="9" t="n">
        <f aca="false">F$2*COS(G31-H$2)^2+0.15</f>
        <v>0.153212710958821</v>
      </c>
    </row>
    <row r="32" customFormat="false" ht="12.75" hidden="false" customHeight="false" outlineLevel="0" collapsed="false">
      <c r="A32" s="7" t="n">
        <v>58.01</v>
      </c>
      <c r="B32" s="7" t="n">
        <v>2.38</v>
      </c>
      <c r="D32" s="7" t="n">
        <v>137.81</v>
      </c>
      <c r="E32" s="7" t="n">
        <v>0.17</v>
      </c>
      <c r="G32" s="9" t="n">
        <f aca="false">D32*PI()/180</f>
        <v>2.40523824217339</v>
      </c>
      <c r="H32" s="9" t="n">
        <f aca="false">F$2*COS(G32-H$2)^2+0.15</f>
        <v>0.155695967357082</v>
      </c>
    </row>
    <row r="33" customFormat="false" ht="12.75" hidden="false" customHeight="false" outlineLevel="0" collapsed="false">
      <c r="A33" s="7" t="n">
        <v>59.94</v>
      </c>
      <c r="B33" s="7" t="n">
        <v>2.3</v>
      </c>
      <c r="D33" s="7" t="n">
        <v>142.73</v>
      </c>
      <c r="E33" s="7" t="n">
        <v>0.19</v>
      </c>
      <c r="G33" s="9" t="n">
        <f aca="false">D33*PI()/180</f>
        <v>2.49110844137151</v>
      </c>
      <c r="H33" s="9" t="n">
        <f aca="false">F$2*COS(G33-H$2)^2+0.15</f>
        <v>0.192877108655661</v>
      </c>
    </row>
    <row r="34" customFormat="false" ht="12.75" hidden="false" customHeight="false" outlineLevel="0" collapsed="false">
      <c r="A34" s="7" t="n">
        <v>61.88</v>
      </c>
      <c r="B34" s="7" t="n">
        <v>2.22</v>
      </c>
      <c r="D34" s="7" t="n">
        <v>147.66</v>
      </c>
      <c r="E34" s="7" t="n">
        <v>0.26</v>
      </c>
      <c r="G34" s="9" t="n">
        <f aca="false">D34*PI()/180</f>
        <v>2.57715317349483</v>
      </c>
      <c r="H34" s="9" t="n">
        <f aca="false">F$2*COS(G34-H$2)^2+0.15</f>
        <v>0.263839017520689</v>
      </c>
    </row>
    <row r="35" customFormat="false" ht="12.75" hidden="false" customHeight="false" outlineLevel="0" collapsed="false">
      <c r="A35" s="7" t="n">
        <v>63.81</v>
      </c>
      <c r="B35" s="7" t="n">
        <v>2.13</v>
      </c>
      <c r="D35" s="7" t="n">
        <v>152.58</v>
      </c>
      <c r="E35" s="7" t="n">
        <v>0.34</v>
      </c>
      <c r="G35" s="9" t="n">
        <f aca="false">D35*PI()/180</f>
        <v>2.66302337269295</v>
      </c>
      <c r="H35" s="9" t="n">
        <f aca="false">F$2*COS(G35-H$2)^2+0.15</f>
        <v>0.366206657061669</v>
      </c>
    </row>
    <row r="36" customFormat="false" ht="12.75" hidden="false" customHeight="false" outlineLevel="0" collapsed="false">
      <c r="A36" s="7" t="n">
        <v>65.74</v>
      </c>
      <c r="B36" s="7" t="n">
        <v>2.06</v>
      </c>
      <c r="D36" s="7" t="n">
        <v>157.5</v>
      </c>
      <c r="E36" s="7" t="n">
        <v>0.48</v>
      </c>
      <c r="G36" s="9" t="n">
        <f aca="false">D36*PI()/180</f>
        <v>2.74889357189107</v>
      </c>
      <c r="H36" s="9" t="n">
        <f aca="false">F$2*COS(G36-H$2)^2+0.15</f>
        <v>0.497078464293941</v>
      </c>
    </row>
    <row r="37" customFormat="false" ht="12.75" hidden="false" customHeight="false" outlineLevel="0" collapsed="false">
      <c r="A37" s="7" t="n">
        <v>67.68</v>
      </c>
      <c r="B37" s="7" t="n">
        <v>1.97</v>
      </c>
      <c r="D37" s="7" t="n">
        <v>162.42</v>
      </c>
      <c r="E37" s="7" t="n">
        <v>0.7</v>
      </c>
      <c r="G37" s="9" t="n">
        <f aca="false">D37*PI()/180</f>
        <v>2.83476377108919</v>
      </c>
      <c r="H37" s="9" t="n">
        <f aca="false">F$2*COS(G37-H$2)^2+0.15</f>
        <v>0.652603884332293</v>
      </c>
    </row>
    <row r="38" customFormat="false" ht="12.75" hidden="false" customHeight="false" outlineLevel="0" collapsed="false">
      <c r="A38" s="7" t="n">
        <v>69.61</v>
      </c>
      <c r="B38" s="7" t="n">
        <v>1.88</v>
      </c>
      <c r="D38" s="7" t="n">
        <v>167.34</v>
      </c>
      <c r="E38" s="7" t="n">
        <v>0.81</v>
      </c>
      <c r="G38" s="9" t="n">
        <f aca="false">D38*PI()/180</f>
        <v>2.92063397028731</v>
      </c>
      <c r="H38" s="9" t="n">
        <f aca="false">F$2*COS(G38-H$2)^2+0.15</f>
        <v>0.828206995298913</v>
      </c>
    </row>
    <row r="39" customFormat="false" ht="12.75" hidden="false" customHeight="false" outlineLevel="0" collapsed="false">
      <c r="A39" s="7" t="n">
        <v>71.54</v>
      </c>
      <c r="B39" s="7" t="n">
        <v>1.77</v>
      </c>
      <c r="D39" s="7" t="n">
        <v>172.27</v>
      </c>
      <c r="E39" s="7" t="n">
        <v>1</v>
      </c>
      <c r="G39" s="9" t="n">
        <f aca="false">D39*PI()/180</f>
        <v>3.00667870241063</v>
      </c>
      <c r="H39" s="9" t="n">
        <f aca="false">F$2*COS(G39-H$2)^2+0.15</f>
        <v>1.01911979950106</v>
      </c>
    </row>
    <row r="40" customFormat="false" ht="12.75" hidden="false" customHeight="false" outlineLevel="0" collapsed="false">
      <c r="A40" s="7" t="n">
        <v>73.48</v>
      </c>
      <c r="B40" s="7" t="n">
        <v>1.66</v>
      </c>
      <c r="D40" s="7" t="n">
        <v>177.19</v>
      </c>
      <c r="E40" s="7" t="n">
        <v>1.17</v>
      </c>
      <c r="G40" s="9" t="n">
        <f aca="false">D40*PI()/180</f>
        <v>3.09254890160875</v>
      </c>
      <c r="H40" s="9" t="n">
        <f aca="false">F$2*COS(G40-H$2)^2+0.15</f>
        <v>1.21895260195872</v>
      </c>
    </row>
    <row r="41" customFormat="false" ht="12.75" hidden="false" customHeight="false" outlineLevel="0" collapsed="false">
      <c r="A41" s="7" t="n">
        <v>75.41</v>
      </c>
      <c r="B41" s="7" t="n">
        <v>1.54</v>
      </c>
      <c r="D41" s="7" t="n">
        <v>182.11</v>
      </c>
      <c r="E41" s="7" t="n">
        <v>1.43</v>
      </c>
      <c r="G41" s="9" t="n">
        <f aca="false">D41*PI()/180</f>
        <v>3.17841910080687</v>
      </c>
      <c r="H41" s="9" t="n">
        <f aca="false">F$2*COS(G41-H$2)^2+0.15</f>
        <v>1.42219979048542</v>
      </c>
    </row>
    <row r="42" customFormat="false" ht="12.75" hidden="false" customHeight="false" outlineLevel="0" collapsed="false">
      <c r="A42" s="7" t="n">
        <v>77.34</v>
      </c>
      <c r="B42" s="7" t="n">
        <v>1.42</v>
      </c>
    </row>
    <row r="43" customFormat="false" ht="12.75" hidden="false" customHeight="false" outlineLevel="0" collapsed="false">
      <c r="A43" s="7" t="n">
        <v>79.28</v>
      </c>
      <c r="B43" s="7" t="n">
        <v>1.28</v>
      </c>
    </row>
    <row r="44" customFormat="false" ht="12.75" hidden="false" customHeight="false" outlineLevel="0" collapsed="false">
      <c r="A44" s="7" t="n">
        <v>81.21</v>
      </c>
      <c r="B44" s="7" t="n">
        <v>1.16</v>
      </c>
    </row>
    <row r="45" customFormat="false" ht="12.75" hidden="false" customHeight="false" outlineLevel="0" collapsed="false">
      <c r="A45" s="7" t="n">
        <v>83.14</v>
      </c>
      <c r="B45" s="7" t="n">
        <v>1.03</v>
      </c>
    </row>
    <row r="46" customFormat="false" ht="12.75" hidden="false" customHeight="false" outlineLevel="0" collapsed="false">
      <c r="A46" s="7" t="n">
        <v>85.08</v>
      </c>
      <c r="B46" s="7" t="n">
        <v>0.91</v>
      </c>
    </row>
    <row r="47" customFormat="false" ht="12.75" hidden="false" customHeight="false" outlineLevel="0" collapsed="false">
      <c r="A47" s="7" t="n">
        <v>87.01</v>
      </c>
      <c r="B47" s="7" t="n">
        <v>0.8</v>
      </c>
    </row>
    <row r="48" customFormat="false" ht="12.75" hidden="false" customHeight="false" outlineLevel="0" collapsed="false">
      <c r="A48" s="7" t="n">
        <v>88.95</v>
      </c>
      <c r="B48" s="7" t="n">
        <v>0.75</v>
      </c>
    </row>
    <row r="49" customFormat="false" ht="12.75" hidden="false" customHeight="false" outlineLevel="0" collapsed="false">
      <c r="A49" s="7" t="n">
        <v>90.88</v>
      </c>
      <c r="B49" s="7" t="n">
        <v>0.71</v>
      </c>
    </row>
    <row r="50" customFormat="false" ht="12.75" hidden="false" customHeight="false" outlineLevel="0" collapsed="false">
      <c r="A50" s="7" t="n">
        <v>92.81</v>
      </c>
      <c r="B50" s="7" t="n">
        <v>0.74</v>
      </c>
    </row>
    <row r="51" customFormat="false" ht="12.75" hidden="false" customHeight="false" outlineLevel="0" collapsed="false">
      <c r="A51" s="7" t="n">
        <v>94.75</v>
      </c>
      <c r="B51" s="7" t="n">
        <v>0.81</v>
      </c>
    </row>
    <row r="52" customFormat="false" ht="12.75" hidden="false" customHeight="false" outlineLevel="0" collapsed="false">
      <c r="A52" s="7" t="n">
        <v>96.68</v>
      </c>
      <c r="B52" s="7" t="n">
        <v>0.93</v>
      </c>
    </row>
    <row r="53" customFormat="false" ht="12.75" hidden="false" customHeight="false" outlineLevel="0" collapsed="false">
      <c r="A53" s="7" t="n">
        <v>98.61</v>
      </c>
      <c r="B53" s="7" t="n">
        <v>1.06</v>
      </c>
    </row>
    <row r="54" customFormat="false" ht="12.75" hidden="false" customHeight="false" outlineLevel="0" collapsed="false">
      <c r="A54" s="7" t="n">
        <v>100.55</v>
      </c>
      <c r="B54" s="7" t="n">
        <v>1.2</v>
      </c>
    </row>
    <row r="55" customFormat="false" ht="12.75" hidden="false" customHeight="false" outlineLevel="0" collapsed="false">
      <c r="A55" s="7" t="n">
        <v>102.48</v>
      </c>
      <c r="B55" s="7" t="n">
        <v>1.33</v>
      </c>
    </row>
    <row r="56" customFormat="false" ht="12.75" hidden="false" customHeight="false" outlineLevel="0" collapsed="false">
      <c r="A56" s="7" t="n">
        <v>104.41</v>
      </c>
      <c r="B56" s="7" t="n">
        <v>1.47</v>
      </c>
    </row>
    <row r="57" customFormat="false" ht="12.75" hidden="false" customHeight="false" outlineLevel="0" collapsed="false">
      <c r="A57" s="7" t="n">
        <v>106.35</v>
      </c>
      <c r="B57" s="7" t="n">
        <v>1.59</v>
      </c>
    </row>
    <row r="58" customFormat="false" ht="12.75" hidden="false" customHeight="false" outlineLevel="0" collapsed="false">
      <c r="A58" s="7" t="n">
        <v>108.28</v>
      </c>
      <c r="B58" s="7" t="n">
        <v>1.72</v>
      </c>
    </row>
    <row r="59" customFormat="false" ht="12.75" hidden="false" customHeight="false" outlineLevel="0" collapsed="false">
      <c r="A59" s="7" t="n">
        <v>110.21</v>
      </c>
      <c r="B59" s="7" t="n">
        <v>1.84</v>
      </c>
    </row>
    <row r="60" customFormat="false" ht="12.75" hidden="false" customHeight="false" outlineLevel="0" collapsed="false">
      <c r="A60" s="7" t="n">
        <v>112.15</v>
      </c>
      <c r="B60" s="7" t="n">
        <v>1.94</v>
      </c>
    </row>
    <row r="61" customFormat="false" ht="12.75" hidden="false" customHeight="false" outlineLevel="0" collapsed="false">
      <c r="A61" s="7" t="n">
        <v>114.08</v>
      </c>
      <c r="B61" s="7" t="n">
        <v>2.05</v>
      </c>
    </row>
    <row r="62" customFormat="false" ht="12.75" hidden="false" customHeight="false" outlineLevel="0" collapsed="false">
      <c r="A62" s="7" t="n">
        <v>116.02</v>
      </c>
      <c r="B62" s="7" t="n">
        <v>2.14</v>
      </c>
    </row>
    <row r="63" customFormat="false" ht="12.75" hidden="false" customHeight="false" outlineLevel="0" collapsed="false">
      <c r="A63" s="7" t="n">
        <v>117.95</v>
      </c>
      <c r="B63" s="7" t="n">
        <v>2.24</v>
      </c>
    </row>
    <row r="64" customFormat="false" ht="12.75" hidden="false" customHeight="false" outlineLevel="0" collapsed="false">
      <c r="A64" s="7" t="n">
        <v>119.88</v>
      </c>
      <c r="B64" s="7" t="n">
        <v>2.32</v>
      </c>
    </row>
    <row r="65" customFormat="false" ht="12.75" hidden="false" customHeight="false" outlineLevel="0" collapsed="false">
      <c r="A65" s="7" t="n">
        <v>121.82</v>
      </c>
      <c r="B65" s="7" t="n">
        <v>2.4</v>
      </c>
    </row>
    <row r="66" customFormat="false" ht="12.75" hidden="false" customHeight="false" outlineLevel="0" collapsed="false">
      <c r="A66" s="7" t="n">
        <v>123.75</v>
      </c>
      <c r="B66" s="7" t="n">
        <v>2.46</v>
      </c>
    </row>
    <row r="67" customFormat="false" ht="12.75" hidden="false" customHeight="false" outlineLevel="0" collapsed="false">
      <c r="A67" s="7" t="n">
        <v>125.68</v>
      </c>
      <c r="B67" s="7" t="n">
        <v>2.51</v>
      </c>
    </row>
    <row r="68" customFormat="false" ht="12.75" hidden="false" customHeight="false" outlineLevel="0" collapsed="false">
      <c r="A68" s="7" t="n">
        <v>127.62</v>
      </c>
      <c r="B68" s="7" t="n">
        <v>2.57</v>
      </c>
    </row>
    <row r="69" customFormat="false" ht="12.75" hidden="false" customHeight="false" outlineLevel="0" collapsed="false">
      <c r="A69" s="7" t="n">
        <v>129.55</v>
      </c>
      <c r="B69" s="7" t="n">
        <v>2.62</v>
      </c>
    </row>
    <row r="70" customFormat="false" ht="12.75" hidden="false" customHeight="false" outlineLevel="0" collapsed="false">
      <c r="A70" s="7" t="n">
        <v>131.48</v>
      </c>
      <c r="B70" s="7" t="n">
        <v>2.68</v>
      </c>
    </row>
    <row r="71" customFormat="false" ht="12.75" hidden="false" customHeight="false" outlineLevel="0" collapsed="false">
      <c r="A71" s="7" t="n">
        <v>133.42</v>
      </c>
      <c r="B71" s="7" t="n">
        <v>2.71</v>
      </c>
    </row>
    <row r="72" customFormat="false" ht="12.75" hidden="false" customHeight="false" outlineLevel="0" collapsed="false">
      <c r="A72" s="7" t="n">
        <v>135.35</v>
      </c>
      <c r="B72" s="7" t="n">
        <v>2.76</v>
      </c>
    </row>
    <row r="73" customFormat="false" ht="12.75" hidden="false" customHeight="false" outlineLevel="0" collapsed="false">
      <c r="A73" s="7" t="n">
        <v>137.29</v>
      </c>
      <c r="B73" s="7" t="n">
        <v>2.82</v>
      </c>
    </row>
    <row r="74" customFormat="false" ht="12.75" hidden="false" customHeight="false" outlineLevel="0" collapsed="false">
      <c r="A74" s="7" t="n">
        <v>139.22</v>
      </c>
      <c r="B74" s="7" t="n">
        <v>2.85</v>
      </c>
    </row>
    <row r="75" customFormat="false" ht="12.75" hidden="false" customHeight="false" outlineLevel="0" collapsed="false">
      <c r="A75" s="7" t="n">
        <v>141.15</v>
      </c>
      <c r="B75" s="7" t="n">
        <v>2.88</v>
      </c>
    </row>
    <row r="76" customFormat="false" ht="12.75" hidden="false" customHeight="false" outlineLevel="0" collapsed="false">
      <c r="A76" s="7" t="n">
        <v>143.09</v>
      </c>
      <c r="B76" s="7" t="n">
        <v>2.92</v>
      </c>
    </row>
    <row r="77" customFormat="false" ht="12.75" hidden="false" customHeight="false" outlineLevel="0" collapsed="false">
      <c r="A77" s="7" t="n">
        <v>145.02</v>
      </c>
      <c r="B77" s="7" t="n">
        <v>2.95</v>
      </c>
    </row>
    <row r="78" customFormat="false" ht="12.75" hidden="false" customHeight="false" outlineLevel="0" collapsed="false">
      <c r="A78" s="7" t="n">
        <v>146.95</v>
      </c>
      <c r="B78" s="7" t="n">
        <v>2.98</v>
      </c>
    </row>
    <row r="79" customFormat="false" ht="12.75" hidden="false" customHeight="false" outlineLevel="0" collapsed="false">
      <c r="A79" s="7" t="n">
        <v>148.89</v>
      </c>
      <c r="B79" s="7" t="n">
        <v>3</v>
      </c>
    </row>
    <row r="80" customFormat="false" ht="12.75" hidden="false" customHeight="false" outlineLevel="0" collapsed="false">
      <c r="A80" s="7" t="n">
        <v>150.82</v>
      </c>
      <c r="B80" s="7" t="n">
        <v>3.03</v>
      </c>
    </row>
    <row r="81" customFormat="false" ht="12.75" hidden="false" customHeight="false" outlineLevel="0" collapsed="false">
      <c r="A81" s="7" t="n">
        <v>152.75</v>
      </c>
      <c r="B81" s="7" t="n">
        <v>3.05</v>
      </c>
    </row>
    <row r="82" customFormat="false" ht="12.75" hidden="false" customHeight="false" outlineLevel="0" collapsed="false">
      <c r="A82" s="7" t="n">
        <v>154.69</v>
      </c>
      <c r="B82" s="7" t="n">
        <v>3.07</v>
      </c>
    </row>
    <row r="83" customFormat="false" ht="12.75" hidden="false" customHeight="false" outlineLevel="0" collapsed="false">
      <c r="A83" s="7" t="n">
        <v>156.62</v>
      </c>
      <c r="B83" s="7" t="n">
        <v>3.09</v>
      </c>
    </row>
    <row r="84" customFormat="false" ht="12.75" hidden="false" customHeight="false" outlineLevel="0" collapsed="false">
      <c r="A84" s="7" t="n">
        <v>158.55</v>
      </c>
      <c r="B84" s="7" t="n">
        <v>3.1</v>
      </c>
    </row>
    <row r="85" customFormat="false" ht="12.75" hidden="false" customHeight="false" outlineLevel="0" collapsed="false">
      <c r="A85" s="7" t="n">
        <v>160.49</v>
      </c>
      <c r="B85" s="7" t="n">
        <v>3.12</v>
      </c>
    </row>
    <row r="86" customFormat="false" ht="12.75" hidden="false" customHeight="false" outlineLevel="0" collapsed="false">
      <c r="A86" s="7" t="n">
        <v>162.42</v>
      </c>
      <c r="B86" s="7" t="n">
        <v>3.13</v>
      </c>
    </row>
    <row r="87" customFormat="false" ht="12.75" hidden="false" customHeight="false" outlineLevel="0" collapsed="false">
      <c r="A87" s="7" t="n">
        <v>164.36</v>
      </c>
      <c r="B87" s="7" t="n">
        <v>3.15</v>
      </c>
    </row>
    <row r="88" customFormat="false" ht="12.75" hidden="false" customHeight="false" outlineLevel="0" collapsed="false">
      <c r="A88" s="7" t="n">
        <v>166.29</v>
      </c>
      <c r="B88" s="7" t="n">
        <v>3.15</v>
      </c>
    </row>
    <row r="89" customFormat="false" ht="12.75" hidden="false" customHeight="false" outlineLevel="0" collapsed="false">
      <c r="A89" s="7" t="n">
        <v>168.22</v>
      </c>
      <c r="B89" s="7" t="n">
        <v>3.17</v>
      </c>
    </row>
    <row r="90" customFormat="false" ht="12.75" hidden="false" customHeight="false" outlineLevel="0" collapsed="false">
      <c r="A90" s="7" t="n">
        <v>170.16</v>
      </c>
      <c r="B90" s="7" t="n">
        <v>3.18</v>
      </c>
    </row>
    <row r="91" customFormat="false" ht="12.75" hidden="false" customHeight="false" outlineLevel="0" collapsed="false">
      <c r="A91" s="7" t="n">
        <v>172.09</v>
      </c>
      <c r="B91" s="7" t="n">
        <v>3.18</v>
      </c>
    </row>
    <row r="92" customFormat="false" ht="12.75" hidden="false" customHeight="false" outlineLevel="0" collapsed="false">
      <c r="A92" s="7" t="n">
        <v>174.02</v>
      </c>
      <c r="B92" s="7" t="n">
        <v>3.2</v>
      </c>
    </row>
    <row r="93" customFormat="false" ht="12.75" hidden="false" customHeight="false" outlineLevel="0" collapsed="false">
      <c r="A93" s="7" t="n">
        <v>175.96</v>
      </c>
      <c r="B93" s="7" t="n">
        <v>3.2</v>
      </c>
    </row>
    <row r="94" customFormat="false" ht="12.75" hidden="false" customHeight="false" outlineLevel="0" collapsed="false">
      <c r="A94" s="7" t="n">
        <v>177.89</v>
      </c>
      <c r="B94" s="7" t="n">
        <v>3.2</v>
      </c>
    </row>
    <row r="95" customFormat="false" ht="12.75" hidden="false" customHeight="false" outlineLevel="0" collapsed="false">
      <c r="A95" s="7" t="n">
        <v>179.82</v>
      </c>
      <c r="B95" s="7" t="n">
        <v>3.2</v>
      </c>
    </row>
  </sheetData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M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11.42"/>
    <col collapsed="false" customWidth="true" hidden="false" outlineLevel="0" max="2" min="2" style="0" width="40.28"/>
    <col collapsed="false" customWidth="true" hidden="false" outlineLevel="0" max="3" min="3" style="11" width="24.42"/>
    <col collapsed="false" customWidth="true" hidden="false" outlineLevel="0" max="11" min="4" style="0" width="11.42"/>
    <col collapsed="false" customWidth="true" hidden="false" outlineLevel="0" max="12" min="12" style="0" width="18.71"/>
    <col collapsed="false" customWidth="true" hidden="false" outlineLevel="0" max="1025" min="13" style="0" width="11.42"/>
  </cols>
  <sheetData>
    <row r="2" customFormat="false" ht="13.5" hidden="false" customHeight="false" outlineLevel="0" collapsed="false"/>
    <row r="3" customFormat="false" ht="12.75" hidden="false" customHeight="true" outlineLevel="0" collapsed="false">
      <c r="B3" s="6" t="s">
        <v>5</v>
      </c>
      <c r="C3" s="12" t="n">
        <v>6</v>
      </c>
      <c r="E3" s="13" t="s">
        <v>6</v>
      </c>
      <c r="F3" s="13"/>
    </row>
    <row r="4" customFormat="false" ht="12.75" hidden="false" customHeight="true" outlineLevel="0" collapsed="false">
      <c r="B4" s="6" t="s">
        <v>7</v>
      </c>
      <c r="C4" s="12" t="n">
        <v>9600</v>
      </c>
      <c r="E4" s="13"/>
      <c r="F4" s="13"/>
    </row>
    <row r="5" customFormat="false" ht="12.75" hidden="false" customHeight="true" outlineLevel="0" collapsed="false">
      <c r="B5" s="6" t="s">
        <v>8</v>
      </c>
      <c r="C5" s="11" t="n">
        <f aca="false">TRUE()</f>
        <v>1</v>
      </c>
      <c r="E5" s="13"/>
      <c r="F5" s="13"/>
    </row>
    <row r="6" customFormat="false" ht="12.75" hidden="false" customHeight="true" outlineLevel="0" collapsed="false">
      <c r="B6" s="6" t="s">
        <v>9</v>
      </c>
      <c r="C6" s="11" t="n">
        <f aca="false">FALSE()</f>
        <v>0</v>
      </c>
      <c r="E6" s="13"/>
      <c r="F6" s="13"/>
    </row>
    <row r="7" customFormat="false" ht="12.75" hidden="false" customHeight="true" outlineLevel="0" collapsed="false">
      <c r="B7" s="6" t="s">
        <v>10</v>
      </c>
      <c r="C7" s="11" t="n">
        <f aca="false">FALSE()</f>
        <v>0</v>
      </c>
      <c r="E7" s="13"/>
      <c r="F7" s="13"/>
      <c r="M7" s="6"/>
    </row>
    <row r="8" customFormat="false" ht="12.75" hidden="false" customHeight="true" outlineLevel="0" collapsed="false">
      <c r="B8" s="6" t="s">
        <v>11</v>
      </c>
      <c r="C8" s="11" t="n">
        <f aca="false">FALSE()</f>
        <v>0</v>
      </c>
      <c r="E8" s="13"/>
      <c r="F8" s="13"/>
      <c r="L8" s="6"/>
      <c r="M8" s="6"/>
    </row>
    <row r="9" customFormat="false" ht="12.75" hidden="false" customHeight="true" outlineLevel="0" collapsed="false">
      <c r="B9" s="6" t="s">
        <v>12</v>
      </c>
      <c r="C9" s="12" t="s">
        <v>13</v>
      </c>
      <c r="E9" s="13"/>
      <c r="F9" s="13"/>
      <c r="M9" s="6"/>
    </row>
    <row r="10" customFormat="false" ht="13.5" hidden="false" customHeight="true" outlineLevel="0" collapsed="false">
      <c r="B10" s="6" t="s">
        <v>14</v>
      </c>
      <c r="C10" s="11" t="n">
        <f aca="false">TRUE()</f>
        <v>1</v>
      </c>
      <c r="E10" s="13"/>
      <c r="F10" s="13"/>
    </row>
    <row r="11" customFormat="false" ht="13.5" hidden="false" customHeight="true" outlineLevel="0" collapsed="false">
      <c r="B11" s="6" t="s">
        <v>15</v>
      </c>
      <c r="C11" s="11" t="n">
        <f aca="false">TRUE()</f>
        <v>1</v>
      </c>
      <c r="E11" s="13"/>
      <c r="F11" s="13"/>
    </row>
    <row r="12" customFormat="false" ht="12.75" hidden="false" customHeight="true" outlineLevel="0" collapsed="false">
      <c r="B12" s="6" t="s">
        <v>16</v>
      </c>
      <c r="C12" s="11" t="n">
        <f aca="false">TRUE()</f>
        <v>1</v>
      </c>
      <c r="E12" s="13"/>
      <c r="F12" s="13"/>
    </row>
    <row r="13" customFormat="false" ht="12.75" hidden="false" customHeight="true" outlineLevel="0" collapsed="false">
      <c r="B13" s="6" t="s">
        <v>17</v>
      </c>
      <c r="C13" s="11" t="n">
        <f aca="false">TRUE()</f>
        <v>1</v>
      </c>
      <c r="E13" s="13"/>
      <c r="F13" s="13"/>
    </row>
    <row r="14" customFormat="false" ht="13.5" hidden="false" customHeight="true" outlineLevel="0" collapsed="false">
      <c r="B14" s="6" t="s">
        <v>18</v>
      </c>
      <c r="C14" s="11" t="n">
        <v>529.25</v>
      </c>
      <c r="E14" s="13"/>
      <c r="F14" s="13"/>
    </row>
    <row r="15" customFormat="false" ht="12.75" hidden="false" customHeight="false" outlineLevel="0" collapsed="false">
      <c r="B15" s="6" t="s">
        <v>19</v>
      </c>
      <c r="C15" s="12" t="n">
        <v>1024</v>
      </c>
      <c r="E15" s="13"/>
      <c r="F15" s="13"/>
    </row>
    <row r="16" customFormat="false" ht="12.75" hidden="false" customHeight="false" outlineLevel="0" collapsed="false">
      <c r="B16" s="6" t="s">
        <v>20</v>
      </c>
      <c r="C16" s="12" t="n">
        <v>1024</v>
      </c>
      <c r="E16" s="13"/>
      <c r="F16" s="13"/>
    </row>
    <row r="17" customFormat="false" ht="12.75" hidden="false" customHeight="false" outlineLevel="0" collapsed="false">
      <c r="B17" s="6" t="s">
        <v>21</v>
      </c>
      <c r="C17" s="12" t="n">
        <v>1024</v>
      </c>
      <c r="E17" s="13"/>
      <c r="F17" s="13"/>
    </row>
    <row r="18" customFormat="false" ht="13.5" hidden="false" customHeight="false" outlineLevel="0" collapsed="false">
      <c r="B18" s="6" t="s">
        <v>22</v>
      </c>
      <c r="C18" s="12" t="n">
        <v>64</v>
      </c>
      <c r="E18" s="13"/>
      <c r="F18" s="13"/>
    </row>
  </sheetData>
  <mergeCells count="1">
    <mergeCell ref="E3:F18"/>
  </mergeCells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LibreOffice/6.0.6.2$Linux_X86_64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pt-BR</dc:language>
  <cp:lastModifiedBy>ldi0209</cp:lastModifiedBy>
  <dcterms:modified xsi:type="dcterms:W3CDTF">2018-10-18T14:33:08Z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